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Course\Sourse\Day 02\"/>
    </mc:Choice>
  </mc:AlternateContent>
  <xr:revisionPtr revIDLastSave="0" documentId="13_ncr:1_{7BF3A1A2-DF96-4EB6-8B06-964E915853CB}" xr6:coauthVersionLast="47" xr6:coauthVersionMax="47" xr10:uidLastSave="{00000000-0000-0000-0000-000000000000}"/>
  <bookViews>
    <workbookView xWindow="-120" yWindow="-120" windowWidth="20730" windowHeight="11040" activeTab="1" xr2:uid="{782C3C38-51B7-4107-95E3-EE1312CD2952}"/>
  </bookViews>
  <sheets>
    <sheet name="Day_02" sheetId="2" r:id="rId1"/>
    <sheet name="Sheet3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5" l="1"/>
  <c r="D53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2" i="5"/>
  <c r="D51" i="5" s="1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D13" i="2"/>
  <c r="C13" i="2"/>
  <c r="D12" i="2"/>
  <c r="C12" i="2"/>
  <c r="D11" i="2"/>
  <c r="C11" i="2"/>
  <c r="D10" i="2"/>
  <c r="C10" i="2"/>
  <c r="L3" i="2"/>
  <c r="L4" i="2"/>
  <c r="L5" i="2"/>
  <c r="L6" i="2"/>
  <c r="L2" i="2"/>
  <c r="K3" i="2"/>
  <c r="K4" i="2"/>
  <c r="K5" i="2"/>
  <c r="K6" i="2"/>
  <c r="K2" i="2"/>
  <c r="J3" i="2"/>
  <c r="J4" i="2"/>
  <c r="J5" i="2"/>
  <c r="J6" i="2"/>
  <c r="J2" i="2"/>
  <c r="I3" i="2"/>
  <c r="I4" i="2"/>
  <c r="I5" i="2"/>
  <c r="I6" i="2"/>
  <c r="I2" i="2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2" i="5"/>
  <c r="D47" i="5" s="1"/>
  <c r="D49" i="5"/>
  <c r="D48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D52" i="5" l="1"/>
  <c r="D46" i="5"/>
  <c r="D50" i="5"/>
</calcChain>
</file>

<file path=xl/sharedStrings.xml><?xml version="1.0" encoding="utf-8"?>
<sst xmlns="http://schemas.openxmlformats.org/spreadsheetml/2006/main" count="273" uniqueCount="139">
  <si>
    <t>Rahim</t>
  </si>
  <si>
    <t>Khan</t>
  </si>
  <si>
    <t>Karim</t>
  </si>
  <si>
    <t>Ahmed</t>
  </si>
  <si>
    <t>Sohan</t>
  </si>
  <si>
    <t>Ali</t>
  </si>
  <si>
    <t>Nayeem</t>
  </si>
  <si>
    <t>Islam</t>
  </si>
  <si>
    <t>Arif</t>
  </si>
  <si>
    <t>Hossain</t>
  </si>
  <si>
    <t>Full Name</t>
  </si>
  <si>
    <t>exam marks</t>
  </si>
  <si>
    <t>viva marks</t>
  </si>
  <si>
    <t>last name</t>
  </si>
  <si>
    <t>first name</t>
  </si>
  <si>
    <t>Total Marks</t>
  </si>
  <si>
    <t>Highest Marks</t>
  </si>
  <si>
    <t>Lowest Marks</t>
  </si>
  <si>
    <t>Averages Marks</t>
  </si>
  <si>
    <t>Total Attendee</t>
  </si>
  <si>
    <t>Upper</t>
  </si>
  <si>
    <t>Lower</t>
  </si>
  <si>
    <t>Proper</t>
  </si>
  <si>
    <t>Sale ID</t>
  </si>
  <si>
    <t>Date</t>
  </si>
  <si>
    <t>Months</t>
  </si>
  <si>
    <t>Product ID</t>
  </si>
  <si>
    <t>Region</t>
  </si>
  <si>
    <t>Salesperson</t>
  </si>
  <si>
    <t>Qty Sold</t>
  </si>
  <si>
    <t>Unit Price (৳)</t>
  </si>
  <si>
    <t>Total Price</t>
  </si>
  <si>
    <t>S001</t>
  </si>
  <si>
    <t>2024-01-05</t>
  </si>
  <si>
    <t>P001</t>
  </si>
  <si>
    <t>Dhaka</t>
  </si>
  <si>
    <t>S002</t>
  </si>
  <si>
    <t>2024-01-12</t>
  </si>
  <si>
    <t>P002</t>
  </si>
  <si>
    <t>Chittagong</t>
  </si>
  <si>
    <t>S003</t>
  </si>
  <si>
    <t>2024-01-20</t>
  </si>
  <si>
    <t>P003</t>
  </si>
  <si>
    <t>Sylhet</t>
  </si>
  <si>
    <t>Nasrin</t>
  </si>
  <si>
    <t>S004</t>
  </si>
  <si>
    <t>01/25/2024</t>
  </si>
  <si>
    <t>P004</t>
  </si>
  <si>
    <t>Rajshahi</t>
  </si>
  <si>
    <t>Sumaiya</t>
  </si>
  <si>
    <t>S005</t>
  </si>
  <si>
    <t>2024-02-03</t>
  </si>
  <si>
    <t>P005</t>
  </si>
  <si>
    <t>Khulna</t>
  </si>
  <si>
    <t>Tariq</t>
  </si>
  <si>
    <t>S006</t>
  </si>
  <si>
    <t>2024-02-10</t>
  </si>
  <si>
    <t>P006</t>
  </si>
  <si>
    <t>Mitu</t>
  </si>
  <si>
    <t>S007</t>
  </si>
  <si>
    <t>2024-02-18</t>
  </si>
  <si>
    <t>P007</t>
  </si>
  <si>
    <t>S009</t>
  </si>
  <si>
    <t>2024-03-01</t>
  </si>
  <si>
    <t>P009</t>
  </si>
  <si>
    <t>S010</t>
  </si>
  <si>
    <t>2024-03-08</t>
  </si>
  <si>
    <t>P010</t>
  </si>
  <si>
    <t>S011</t>
  </si>
  <si>
    <t>2024-03-15</t>
  </si>
  <si>
    <t>S012</t>
  </si>
  <si>
    <t>2024-03-22</t>
  </si>
  <si>
    <t>S013</t>
  </si>
  <si>
    <t>03-28-2024</t>
  </si>
  <si>
    <t>S014</t>
  </si>
  <si>
    <t>2024-04-02</t>
  </si>
  <si>
    <t>S015</t>
  </si>
  <si>
    <t>2024-04-10</t>
  </si>
  <si>
    <t>S017</t>
  </si>
  <si>
    <t>2024-04-25</t>
  </si>
  <si>
    <t>S018</t>
  </si>
  <si>
    <t>2024-05-05</t>
  </si>
  <si>
    <t>P008</t>
  </si>
  <si>
    <t>S019</t>
  </si>
  <si>
    <t>2024-05-12</t>
  </si>
  <si>
    <t>S020</t>
  </si>
  <si>
    <t>2024-05-20</t>
  </si>
  <si>
    <t>S021</t>
  </si>
  <si>
    <t>2024-05-28</t>
  </si>
  <si>
    <t>S022</t>
  </si>
  <si>
    <t>2024-06-03</t>
  </si>
  <si>
    <t>S023</t>
  </si>
  <si>
    <t>2024-06-10</t>
  </si>
  <si>
    <t>S025</t>
  </si>
  <si>
    <t>2024-06-25</t>
  </si>
  <si>
    <t>S026</t>
  </si>
  <si>
    <t>2024-07-02</t>
  </si>
  <si>
    <t>S027</t>
  </si>
  <si>
    <t>2024-07-10</t>
  </si>
  <si>
    <t>S028</t>
  </si>
  <si>
    <t>2024-07-18</t>
  </si>
  <si>
    <t>S029</t>
  </si>
  <si>
    <t>2024-07-25</t>
  </si>
  <si>
    <t>S030</t>
  </si>
  <si>
    <t>2024-08-01</t>
  </si>
  <si>
    <t>S031</t>
  </si>
  <si>
    <t>2024-08-10</t>
  </si>
  <si>
    <t>S032</t>
  </si>
  <si>
    <t>2024-08-18</t>
  </si>
  <si>
    <t>S033</t>
  </si>
  <si>
    <t>2024-08-25</t>
  </si>
  <si>
    <t>S035</t>
  </si>
  <si>
    <t>2024-09-12</t>
  </si>
  <si>
    <t>S036</t>
  </si>
  <si>
    <t>2024-09-20</t>
  </si>
  <si>
    <t>S037</t>
  </si>
  <si>
    <t>2024-09-28</t>
  </si>
  <si>
    <t>S038</t>
  </si>
  <si>
    <t>2024-10-05</t>
  </si>
  <si>
    <t>S039</t>
  </si>
  <si>
    <t>2024-10-15</t>
  </si>
  <si>
    <t>S040</t>
  </si>
  <si>
    <t>2024-10-22</t>
  </si>
  <si>
    <t>S041</t>
  </si>
  <si>
    <t>2024-11-01</t>
  </si>
  <si>
    <t>Sales Summary</t>
  </si>
  <si>
    <t>Total Sale</t>
  </si>
  <si>
    <t>Average sale</t>
  </si>
  <si>
    <t>Max Sale</t>
  </si>
  <si>
    <t>Minnimum Sale</t>
  </si>
  <si>
    <t>Total Transaction</t>
  </si>
  <si>
    <t>Performance</t>
  </si>
  <si>
    <t>Number of Excellent</t>
  </si>
  <si>
    <t>Number of Good</t>
  </si>
  <si>
    <t>Result (40)</t>
  </si>
  <si>
    <t>Result  Condtion E/V pass</t>
  </si>
  <si>
    <t>Customer categorization</t>
  </si>
  <si>
    <t>total average</t>
  </si>
  <si>
    <t>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</si>
</sst>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Arial"/>
      <family val="2"/>
    </font>
    <font>
      <sz val="10"/>
      <name val="Arial"/>
      <family val="2"/>
    </font>
    <font>
      <sz val="10"/>
      <color theme="1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55A11"/>
        <bgColor rgb="FFAB4744"/>
      </patternFill>
    </fill>
    <fill>
      <patternFill patternType="solid">
        <fgColor rgb="FFF2F2F2"/>
        <bgColor rgb="FFF0F0F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164" fontId="4" fillId="3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4" fontId="7" fillId="5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8" borderId="0" xfId="0" applyFill="1"/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DFD-7D5C-4D6D-9226-C4DFDB3338BA}">
  <dimension ref="A1:L24"/>
  <sheetViews>
    <sheetView topLeftCell="A11" workbookViewId="0">
      <selection activeCell="F27" sqref="F27"/>
    </sheetView>
  </sheetViews>
  <sheetFormatPr defaultRowHeight="15" x14ac:dyDescent="0.25"/>
  <cols>
    <col min="1" max="1" width="16.42578125" style="3" customWidth="1"/>
    <col min="2" max="3" width="23.140625" style="3" customWidth="1"/>
    <col min="4" max="4" width="23" style="3" customWidth="1"/>
    <col min="5" max="5" width="16.28515625" bestFit="1" customWidth="1"/>
    <col min="6" max="6" width="23.85546875" bestFit="1" customWidth="1"/>
    <col min="7" max="7" width="14.140625" bestFit="1" customWidth="1"/>
    <col min="8" max="8" width="13.42578125" bestFit="1" customWidth="1"/>
    <col min="9" max="9" width="18.7109375" customWidth="1"/>
    <col min="10" max="10" width="16.7109375" customWidth="1"/>
    <col min="11" max="11" width="15.140625" customWidth="1"/>
    <col min="12" max="12" width="15.7109375" customWidth="1"/>
  </cols>
  <sheetData>
    <row r="1" spans="1:12" ht="30" customHeight="1" x14ac:dyDescent="0.25">
      <c r="A1" s="1" t="s">
        <v>14</v>
      </c>
      <c r="B1" s="1" t="s">
        <v>13</v>
      </c>
      <c r="C1" s="1" t="s">
        <v>11</v>
      </c>
      <c r="D1" s="1" t="s">
        <v>12</v>
      </c>
      <c r="E1" s="4" t="s">
        <v>15</v>
      </c>
      <c r="G1" s="1" t="s">
        <v>14</v>
      </c>
      <c r="H1" s="1" t="s">
        <v>13</v>
      </c>
      <c r="I1" s="4" t="s">
        <v>10</v>
      </c>
      <c r="J1" s="8" t="s">
        <v>20</v>
      </c>
      <c r="K1" s="8" t="s">
        <v>21</v>
      </c>
      <c r="L1" s="8" t="s">
        <v>22</v>
      </c>
    </row>
    <row r="2" spans="1:12" ht="18.75" x14ac:dyDescent="0.3">
      <c r="A2" s="2" t="s">
        <v>0</v>
      </c>
      <c r="B2" s="2" t="s">
        <v>1</v>
      </c>
      <c r="C2" s="2">
        <v>78</v>
      </c>
      <c r="D2" s="2">
        <v>35</v>
      </c>
      <c r="E2" s="5">
        <v>113</v>
      </c>
      <c r="G2" s="2" t="s">
        <v>0</v>
      </c>
      <c r="H2" s="2" t="s">
        <v>1</v>
      </c>
      <c r="I2" s="9" t="str">
        <f>CONCATENATE(G2," ",H2)</f>
        <v>Rahim Khan</v>
      </c>
      <c r="J2" s="9" t="str">
        <f>UPPER(I2)</f>
        <v>RAHIM KHAN</v>
      </c>
      <c r="K2" s="9" t="str">
        <f>LOWER(I2)</f>
        <v>rahim khan</v>
      </c>
      <c r="L2" s="9" t="str">
        <f>PROPER(I2)</f>
        <v>Rahim Khan</v>
      </c>
    </row>
    <row r="3" spans="1:12" ht="18.75" x14ac:dyDescent="0.3">
      <c r="A3" s="2" t="s">
        <v>2</v>
      </c>
      <c r="B3" s="2" t="s">
        <v>3</v>
      </c>
      <c r="C3" s="2">
        <v>65</v>
      </c>
      <c r="D3" s="2">
        <v>48</v>
      </c>
      <c r="E3" s="5">
        <v>113</v>
      </c>
      <c r="G3" s="2" t="s">
        <v>2</v>
      </c>
      <c r="H3" s="2" t="s">
        <v>3</v>
      </c>
      <c r="I3" s="9" t="str">
        <f t="shared" ref="I3:I6" si="0">CONCATENATE(G3," ",H3)</f>
        <v>Karim Ahmed</v>
      </c>
      <c r="J3" s="9" t="str">
        <f t="shared" ref="J3:J6" si="1">UPPER(I3)</f>
        <v>KARIM AHMED</v>
      </c>
      <c r="K3" s="9" t="str">
        <f t="shared" ref="K3:K6" si="2">LOWER(I3)</f>
        <v>karim ahmed</v>
      </c>
      <c r="L3" s="9" t="str">
        <f t="shared" ref="L3:L6" si="3">PROPER(I3)</f>
        <v>Karim Ahmed</v>
      </c>
    </row>
    <row r="4" spans="1:12" ht="18.75" x14ac:dyDescent="0.3">
      <c r="A4" s="2" t="s">
        <v>4</v>
      </c>
      <c r="B4" s="2" t="s">
        <v>5</v>
      </c>
      <c r="C4" s="2">
        <v>88</v>
      </c>
      <c r="D4" s="2">
        <v>43</v>
      </c>
      <c r="E4" s="5">
        <v>131</v>
      </c>
      <c r="G4" s="2" t="s">
        <v>4</v>
      </c>
      <c r="H4" s="2" t="s">
        <v>5</v>
      </c>
      <c r="I4" s="9" t="str">
        <f t="shared" si="0"/>
        <v>Sohan Ali</v>
      </c>
      <c r="J4" s="9" t="str">
        <f t="shared" si="1"/>
        <v>SOHAN ALI</v>
      </c>
      <c r="K4" s="9" t="str">
        <f t="shared" si="2"/>
        <v>sohan ali</v>
      </c>
      <c r="L4" s="9" t="str">
        <f t="shared" si="3"/>
        <v>Sohan Ali</v>
      </c>
    </row>
    <row r="5" spans="1:12" ht="18.75" x14ac:dyDescent="0.3">
      <c r="A5" s="2" t="s">
        <v>6</v>
      </c>
      <c r="B5" s="2" t="s">
        <v>7</v>
      </c>
      <c r="C5" s="2">
        <v>55</v>
      </c>
      <c r="D5" s="2">
        <v>30</v>
      </c>
      <c r="E5" s="5">
        <v>85</v>
      </c>
      <c r="G5" s="2" t="s">
        <v>6</v>
      </c>
      <c r="H5" s="2" t="s">
        <v>7</v>
      </c>
      <c r="I5" s="9" t="str">
        <f t="shared" si="0"/>
        <v>Nayeem Islam</v>
      </c>
      <c r="J5" s="9" t="str">
        <f t="shared" si="1"/>
        <v>NAYEEM ISLAM</v>
      </c>
      <c r="K5" s="9" t="str">
        <f t="shared" si="2"/>
        <v>nayeem islam</v>
      </c>
      <c r="L5" s="9" t="str">
        <f t="shared" si="3"/>
        <v>Nayeem Islam</v>
      </c>
    </row>
    <row r="6" spans="1:12" ht="18.75" x14ac:dyDescent="0.3">
      <c r="A6" s="2" t="s">
        <v>8</v>
      </c>
      <c r="B6" s="2" t="s">
        <v>9</v>
      </c>
      <c r="C6" s="2">
        <v>92</v>
      </c>
      <c r="D6" s="2">
        <v>40</v>
      </c>
      <c r="E6" s="5">
        <v>132</v>
      </c>
      <c r="G6" s="2" t="s">
        <v>8</v>
      </c>
      <c r="H6" s="2" t="s">
        <v>9</v>
      </c>
      <c r="I6" s="9" t="str">
        <f t="shared" si="0"/>
        <v>Arif Hossain</v>
      </c>
      <c r="J6" s="9" t="str">
        <f t="shared" si="1"/>
        <v>ARIF HOSSAIN</v>
      </c>
      <c r="K6" s="9" t="str">
        <f t="shared" si="2"/>
        <v>arif hossain</v>
      </c>
      <c r="L6" s="9" t="str">
        <f t="shared" si="3"/>
        <v>Arif Hossain</v>
      </c>
    </row>
    <row r="10" spans="1:12" ht="18.75" x14ac:dyDescent="0.25">
      <c r="B10" s="6" t="s">
        <v>16</v>
      </c>
      <c r="C10" s="7">
        <f>MAX(C2:C6)</f>
        <v>92</v>
      </c>
      <c r="D10" s="7">
        <f>MAX(D2:D6)</f>
        <v>48</v>
      </c>
    </row>
    <row r="11" spans="1:12" ht="18.75" x14ac:dyDescent="0.25">
      <c r="B11" s="6" t="s">
        <v>17</v>
      </c>
      <c r="C11" s="7">
        <f>MIN(C2:C6)</f>
        <v>55</v>
      </c>
      <c r="D11" s="7">
        <f>MIN(D2:D6)</f>
        <v>30</v>
      </c>
    </row>
    <row r="12" spans="1:12" ht="18.75" x14ac:dyDescent="0.25">
      <c r="B12" s="6" t="s">
        <v>18</v>
      </c>
      <c r="C12" s="10">
        <f>AVERAGE(C2:C6)</f>
        <v>75.599999999999994</v>
      </c>
      <c r="D12" s="10">
        <f>AVERAGE(D2:D6)</f>
        <v>39.200000000000003</v>
      </c>
    </row>
    <row r="13" spans="1:12" ht="18.75" x14ac:dyDescent="0.25">
      <c r="B13" s="6" t="s">
        <v>19</v>
      </c>
      <c r="C13" s="7">
        <f>COUNT(C2:C6)</f>
        <v>5</v>
      </c>
      <c r="D13" s="7">
        <f>COUNT(D2:D6)</f>
        <v>5</v>
      </c>
    </row>
    <row r="19" spans="1:7" ht="21" x14ac:dyDescent="0.25">
      <c r="A19" s="1" t="s">
        <v>14</v>
      </c>
      <c r="B19" s="1" t="s">
        <v>13</v>
      </c>
      <c r="C19" s="1" t="s">
        <v>11</v>
      </c>
      <c r="D19" s="1" t="s">
        <v>12</v>
      </c>
      <c r="E19" s="8" t="s">
        <v>134</v>
      </c>
      <c r="F19" s="19" t="s">
        <v>135</v>
      </c>
      <c r="G19" t="s">
        <v>135</v>
      </c>
    </row>
    <row r="20" spans="1:7" ht="18.75" x14ac:dyDescent="0.3">
      <c r="A20" s="2" t="s">
        <v>0</v>
      </c>
      <c r="B20" s="2" t="s">
        <v>1</v>
      </c>
      <c r="C20" s="2">
        <v>78</v>
      </c>
      <c r="D20" s="2">
        <v>35</v>
      </c>
      <c r="E20" s="18" t="str">
        <f>IF(C20&gt;40,"Pass","Fall")</f>
        <v>Pass</v>
      </c>
      <c r="F20" t="str">
        <f>IF(AND(C20&gt;=40,D20&gt;=30),"Pass","Fall")</f>
        <v>Pass</v>
      </c>
      <c r="G20" t="str">
        <f>IF(OR(C20&gt;=40,D20&gt;=30),"Pass","Fall")</f>
        <v>Pass</v>
      </c>
    </row>
    <row r="21" spans="1:7" ht="18.75" x14ac:dyDescent="0.3">
      <c r="A21" s="2" t="s">
        <v>2</v>
      </c>
      <c r="B21" s="2" t="s">
        <v>3</v>
      </c>
      <c r="C21" s="2">
        <v>65</v>
      </c>
      <c r="D21" s="2">
        <v>48</v>
      </c>
      <c r="E21" s="18" t="str">
        <f t="shared" ref="E21:E24" si="4">IF(C21&gt;40,"Pass","Fall")</f>
        <v>Pass</v>
      </c>
      <c r="F21" t="str">
        <f t="shared" ref="F21:F24" si="5">IF(AND(C21&gt;=40,D21&gt;=30),"Pass","Fall")</f>
        <v>Pass</v>
      </c>
      <c r="G21" t="str">
        <f t="shared" ref="G21:G24" si="6">IF(OR(C21&gt;=40,D21&gt;=30),"Pass","Fall")</f>
        <v>Pass</v>
      </c>
    </row>
    <row r="22" spans="1:7" ht="18.75" x14ac:dyDescent="0.3">
      <c r="A22" s="2" t="s">
        <v>4</v>
      </c>
      <c r="B22" s="2" t="s">
        <v>5</v>
      </c>
      <c r="C22" s="2">
        <v>38</v>
      </c>
      <c r="D22" s="2">
        <v>43</v>
      </c>
      <c r="E22" s="18" t="str">
        <f t="shared" si="4"/>
        <v>Fall</v>
      </c>
      <c r="F22" t="str">
        <f t="shared" si="5"/>
        <v>Fall</v>
      </c>
      <c r="G22" t="str">
        <f t="shared" si="6"/>
        <v>Pass</v>
      </c>
    </row>
    <row r="23" spans="1:7" ht="18.75" x14ac:dyDescent="0.3">
      <c r="A23" s="2" t="s">
        <v>6</v>
      </c>
      <c r="B23" s="2" t="s">
        <v>7</v>
      </c>
      <c r="C23" s="2">
        <v>55</v>
      </c>
      <c r="D23" s="2">
        <v>28</v>
      </c>
      <c r="E23" s="18" t="str">
        <f t="shared" si="4"/>
        <v>Pass</v>
      </c>
      <c r="F23" t="str">
        <f t="shared" si="5"/>
        <v>Fall</v>
      </c>
      <c r="G23" t="str">
        <f t="shared" si="6"/>
        <v>Pass</v>
      </c>
    </row>
    <row r="24" spans="1:7" ht="18.75" x14ac:dyDescent="0.3">
      <c r="A24" s="2" t="s">
        <v>8</v>
      </c>
      <c r="B24" s="2" t="s">
        <v>9</v>
      </c>
      <c r="C24" s="2">
        <v>92</v>
      </c>
      <c r="D24" s="2">
        <v>40</v>
      </c>
      <c r="E24" s="18" t="str">
        <f t="shared" si="4"/>
        <v>Pass</v>
      </c>
      <c r="F24" t="str">
        <f t="shared" si="5"/>
        <v>Pass</v>
      </c>
      <c r="G24" t="str">
        <f t="shared" si="6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6D41-423D-4C1F-A1CA-843AD25672AF}">
  <dimension ref="A1:K54"/>
  <sheetViews>
    <sheetView tabSelected="1" topLeftCell="A51" workbookViewId="0">
      <selection activeCell="D59" sqref="D59"/>
    </sheetView>
  </sheetViews>
  <sheetFormatPr defaultRowHeight="15" x14ac:dyDescent="0.25"/>
  <cols>
    <col min="1" max="9" width="18.7109375" customWidth="1"/>
    <col min="10" max="10" width="16.42578125" customWidth="1"/>
    <col min="11" max="11" width="32.7109375" customWidth="1"/>
  </cols>
  <sheetData>
    <row r="1" spans="1:11" ht="29.45" customHeight="1" x14ac:dyDescent="0.25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131</v>
      </c>
      <c r="K1" s="11" t="s">
        <v>136</v>
      </c>
    </row>
    <row r="2" spans="1:11" x14ac:dyDescent="0.25">
      <c r="A2" s="12" t="s">
        <v>32</v>
      </c>
      <c r="B2" s="12" t="s">
        <v>33</v>
      </c>
      <c r="C2" s="12" t="str">
        <f>TEXT(B2,"mmm")</f>
        <v>Jan</v>
      </c>
      <c r="D2" s="12" t="s">
        <v>34</v>
      </c>
      <c r="E2" s="12" t="s">
        <v>35</v>
      </c>
      <c r="F2" s="12" t="s">
        <v>0</v>
      </c>
      <c r="G2" s="12">
        <v>4</v>
      </c>
      <c r="H2" s="13">
        <v>55000</v>
      </c>
      <c r="I2">
        <f>G2*H2</f>
        <v>220000</v>
      </c>
      <c r="J2" t="str">
        <f>IF(I2&gt;=500000,"Excellent",IF(I2&gt;=100000,"Good","Not Good"))</f>
        <v>Good</v>
      </c>
      <c r="K2" t="str">
        <f>IF(I2&gt;=10000,"High Value",IF(I2&gt;=3000,"Mid value","Budget"))</f>
        <v>High Value</v>
      </c>
    </row>
    <row r="3" spans="1:11" x14ac:dyDescent="0.25">
      <c r="A3" s="14" t="s">
        <v>36</v>
      </c>
      <c r="B3" s="14" t="s">
        <v>37</v>
      </c>
      <c r="C3" s="12" t="str">
        <f t="shared" ref="C3:C41" si="0">TEXT(B3,"mmm")</f>
        <v>Jan</v>
      </c>
      <c r="D3" s="14" t="s">
        <v>38</v>
      </c>
      <c r="E3" s="14" t="s">
        <v>39</v>
      </c>
      <c r="F3" s="14" t="s">
        <v>2</v>
      </c>
      <c r="G3" s="14">
        <v>1</v>
      </c>
      <c r="H3" s="15">
        <v>1200</v>
      </c>
      <c r="I3">
        <f t="shared" ref="I3:I41" si="1">G3*H3</f>
        <v>1200</v>
      </c>
      <c r="J3" t="str">
        <f t="shared" ref="J3:J41" si="2">IF(I3&gt;=500000,"Excellent",IF(I3&gt;=100000,"Good","Not Good"))</f>
        <v>Not Good</v>
      </c>
      <c r="K3" t="str">
        <f t="shared" ref="K3:K41" si="3">IF(I3&gt;=10000,"High Value",IF(I3&gt;=3000,"Mid value","Budget"))</f>
        <v>Budget</v>
      </c>
    </row>
    <row r="4" spans="1:11" x14ac:dyDescent="0.25">
      <c r="A4" s="12" t="s">
        <v>40</v>
      </c>
      <c r="B4" s="12" t="s">
        <v>41</v>
      </c>
      <c r="C4" s="12" t="str">
        <f t="shared" si="0"/>
        <v>Jan</v>
      </c>
      <c r="D4" s="12" t="s">
        <v>42</v>
      </c>
      <c r="E4" s="12" t="s">
        <v>43</v>
      </c>
      <c r="F4" s="12" t="s">
        <v>44</v>
      </c>
      <c r="G4" s="12">
        <v>9</v>
      </c>
      <c r="H4" s="13">
        <v>15000</v>
      </c>
      <c r="I4">
        <f t="shared" si="1"/>
        <v>135000</v>
      </c>
      <c r="J4" t="str">
        <f t="shared" si="2"/>
        <v>Good</v>
      </c>
      <c r="K4" t="str">
        <f t="shared" si="3"/>
        <v>High Value</v>
      </c>
    </row>
    <row r="5" spans="1:11" x14ac:dyDescent="0.25">
      <c r="A5" s="14" t="s">
        <v>45</v>
      </c>
      <c r="B5" s="14" t="s">
        <v>46</v>
      </c>
      <c r="C5" s="12" t="str">
        <f t="shared" si="0"/>
        <v>Jan</v>
      </c>
      <c r="D5" s="14" t="s">
        <v>47</v>
      </c>
      <c r="E5" s="14" t="s">
        <v>48</v>
      </c>
      <c r="F5" s="14" t="s">
        <v>49</v>
      </c>
      <c r="G5" s="14">
        <v>8</v>
      </c>
      <c r="H5" s="15">
        <v>450</v>
      </c>
      <c r="I5">
        <f t="shared" si="1"/>
        <v>3600</v>
      </c>
      <c r="J5" t="str">
        <f t="shared" si="2"/>
        <v>Not Good</v>
      </c>
      <c r="K5" t="str">
        <f t="shared" si="3"/>
        <v>Mid value</v>
      </c>
    </row>
    <row r="6" spans="1:11" x14ac:dyDescent="0.25">
      <c r="A6" s="12" t="s">
        <v>50</v>
      </c>
      <c r="B6" s="12" t="s">
        <v>51</v>
      </c>
      <c r="C6" s="12" t="str">
        <f t="shared" si="0"/>
        <v>Feb</v>
      </c>
      <c r="D6" s="12" t="s">
        <v>52</v>
      </c>
      <c r="E6" s="12" t="s">
        <v>53</v>
      </c>
      <c r="F6" s="12" t="s">
        <v>54</v>
      </c>
      <c r="G6" s="12">
        <v>8</v>
      </c>
      <c r="H6" s="13">
        <v>3500</v>
      </c>
      <c r="I6">
        <f t="shared" si="1"/>
        <v>28000</v>
      </c>
      <c r="J6" t="str">
        <f t="shared" si="2"/>
        <v>Not Good</v>
      </c>
      <c r="K6" t="str">
        <f t="shared" si="3"/>
        <v>High Value</v>
      </c>
    </row>
    <row r="7" spans="1:11" x14ac:dyDescent="0.25">
      <c r="A7" s="14" t="s">
        <v>55</v>
      </c>
      <c r="B7" s="14" t="s">
        <v>56</v>
      </c>
      <c r="C7" s="12" t="str">
        <f t="shared" si="0"/>
        <v>Feb</v>
      </c>
      <c r="D7" s="14" t="s">
        <v>57</v>
      </c>
      <c r="E7" s="14" t="s">
        <v>35</v>
      </c>
      <c r="F7" s="14" t="s">
        <v>58</v>
      </c>
      <c r="G7" s="14">
        <v>5</v>
      </c>
      <c r="H7" s="15">
        <v>28000</v>
      </c>
      <c r="I7">
        <f t="shared" si="1"/>
        <v>140000</v>
      </c>
      <c r="J7" t="str">
        <f t="shared" si="2"/>
        <v>Good</v>
      </c>
      <c r="K7" t="str">
        <f t="shared" si="3"/>
        <v>High Value</v>
      </c>
    </row>
    <row r="8" spans="1:11" x14ac:dyDescent="0.25">
      <c r="A8" s="12" t="s">
        <v>55</v>
      </c>
      <c r="B8" s="12" t="s">
        <v>56</v>
      </c>
      <c r="C8" s="12" t="str">
        <f t="shared" si="0"/>
        <v>Feb</v>
      </c>
      <c r="D8" s="12" t="s">
        <v>57</v>
      </c>
      <c r="E8" s="12" t="s">
        <v>35</v>
      </c>
      <c r="F8" s="12" t="s">
        <v>58</v>
      </c>
      <c r="G8" s="12">
        <v>5</v>
      </c>
      <c r="H8" s="13">
        <v>28000</v>
      </c>
      <c r="I8">
        <f t="shared" si="1"/>
        <v>140000</v>
      </c>
      <c r="J8" t="str">
        <f t="shared" si="2"/>
        <v>Good</v>
      </c>
      <c r="K8" t="str">
        <f t="shared" si="3"/>
        <v>High Value</v>
      </c>
    </row>
    <row r="9" spans="1:11" x14ac:dyDescent="0.25">
      <c r="A9" s="14" t="s">
        <v>59</v>
      </c>
      <c r="B9" s="14" t="s">
        <v>60</v>
      </c>
      <c r="C9" s="12" t="str">
        <f t="shared" si="0"/>
        <v>Feb</v>
      </c>
      <c r="D9" s="14" t="s">
        <v>61</v>
      </c>
      <c r="E9" s="14" t="s">
        <v>39</v>
      </c>
      <c r="F9" s="14" t="s">
        <v>8</v>
      </c>
      <c r="G9" s="14">
        <v>4</v>
      </c>
      <c r="H9" s="15">
        <v>4500</v>
      </c>
      <c r="I9">
        <f t="shared" si="1"/>
        <v>18000</v>
      </c>
      <c r="J9" t="str">
        <f t="shared" si="2"/>
        <v>Not Good</v>
      </c>
      <c r="K9" t="str">
        <f t="shared" si="3"/>
        <v>High Value</v>
      </c>
    </row>
    <row r="10" spans="1:11" x14ac:dyDescent="0.25">
      <c r="A10" s="12" t="s">
        <v>62</v>
      </c>
      <c r="B10" s="12" t="s">
        <v>63</v>
      </c>
      <c r="C10" s="12" t="str">
        <f t="shared" si="0"/>
        <v>Mar</v>
      </c>
      <c r="D10" s="12" t="s">
        <v>64</v>
      </c>
      <c r="E10" s="12" t="s">
        <v>48</v>
      </c>
      <c r="F10" s="12" t="s">
        <v>2</v>
      </c>
      <c r="G10" s="12">
        <v>3</v>
      </c>
      <c r="H10" s="13">
        <v>32000</v>
      </c>
      <c r="I10">
        <f t="shared" si="1"/>
        <v>96000</v>
      </c>
      <c r="J10" t="str">
        <f t="shared" si="2"/>
        <v>Not Good</v>
      </c>
      <c r="K10" t="str">
        <f t="shared" si="3"/>
        <v>High Value</v>
      </c>
    </row>
    <row r="11" spans="1:11" x14ac:dyDescent="0.25">
      <c r="A11" s="14" t="s">
        <v>65</v>
      </c>
      <c r="B11" s="14" t="s">
        <v>66</v>
      </c>
      <c r="C11" s="12" t="str">
        <f t="shared" si="0"/>
        <v>Mar</v>
      </c>
      <c r="D11" s="14" t="s">
        <v>67</v>
      </c>
      <c r="E11" s="14" t="s">
        <v>53</v>
      </c>
      <c r="F11" s="14" t="s">
        <v>44</v>
      </c>
      <c r="G11" s="14">
        <v>19</v>
      </c>
      <c r="H11" s="15">
        <v>2200</v>
      </c>
      <c r="I11">
        <f t="shared" si="1"/>
        <v>41800</v>
      </c>
      <c r="J11" t="str">
        <f t="shared" si="2"/>
        <v>Not Good</v>
      </c>
      <c r="K11" t="str">
        <f t="shared" si="3"/>
        <v>High Value</v>
      </c>
    </row>
    <row r="12" spans="1:11" x14ac:dyDescent="0.25">
      <c r="A12" s="12" t="s">
        <v>68</v>
      </c>
      <c r="B12" s="12" t="s">
        <v>69</v>
      </c>
      <c r="C12" s="12" t="str">
        <f t="shared" si="0"/>
        <v>Mar</v>
      </c>
      <c r="D12" s="12" t="s">
        <v>34</v>
      </c>
      <c r="E12" s="12" t="s">
        <v>35</v>
      </c>
      <c r="F12" s="12" t="s">
        <v>49</v>
      </c>
      <c r="G12" s="12">
        <v>14</v>
      </c>
      <c r="H12" s="13">
        <v>55000</v>
      </c>
      <c r="I12">
        <f t="shared" si="1"/>
        <v>770000</v>
      </c>
      <c r="J12" t="str">
        <f t="shared" si="2"/>
        <v>Excellent</v>
      </c>
      <c r="K12" t="str">
        <f t="shared" si="3"/>
        <v>High Value</v>
      </c>
    </row>
    <row r="13" spans="1:11" x14ac:dyDescent="0.25">
      <c r="A13" s="14" t="s">
        <v>70</v>
      </c>
      <c r="B13" s="14" t="s">
        <v>71</v>
      </c>
      <c r="C13" s="12" t="str">
        <f t="shared" si="0"/>
        <v>Mar</v>
      </c>
      <c r="D13" s="14" t="s">
        <v>38</v>
      </c>
      <c r="E13" s="14" t="s">
        <v>39</v>
      </c>
      <c r="F13" s="14" t="s">
        <v>54</v>
      </c>
      <c r="G13" s="14">
        <v>2</v>
      </c>
      <c r="H13" s="15">
        <v>1200</v>
      </c>
      <c r="I13">
        <f t="shared" si="1"/>
        <v>2400</v>
      </c>
      <c r="J13" t="str">
        <f t="shared" si="2"/>
        <v>Not Good</v>
      </c>
      <c r="K13" t="str">
        <f t="shared" si="3"/>
        <v>Budget</v>
      </c>
    </row>
    <row r="14" spans="1:11" x14ac:dyDescent="0.25">
      <c r="A14" s="12" t="s">
        <v>72</v>
      </c>
      <c r="B14" s="12" t="s">
        <v>73</v>
      </c>
      <c r="C14" s="12" t="str">
        <f t="shared" si="0"/>
        <v>Mar</v>
      </c>
      <c r="D14" s="12" t="s">
        <v>42</v>
      </c>
      <c r="E14" s="12" t="s">
        <v>43</v>
      </c>
      <c r="F14" s="12" t="s">
        <v>58</v>
      </c>
      <c r="G14" s="12">
        <v>1</v>
      </c>
      <c r="H14" s="13">
        <v>15000</v>
      </c>
      <c r="I14">
        <f t="shared" si="1"/>
        <v>15000</v>
      </c>
      <c r="J14" t="str">
        <f t="shared" si="2"/>
        <v>Not Good</v>
      </c>
      <c r="K14" t="str">
        <f t="shared" si="3"/>
        <v>High Value</v>
      </c>
    </row>
    <row r="15" spans="1:11" x14ac:dyDescent="0.25">
      <c r="A15" s="14" t="s">
        <v>74</v>
      </c>
      <c r="B15" s="14" t="s">
        <v>75</v>
      </c>
      <c r="C15" s="12" t="str">
        <f t="shared" si="0"/>
        <v>Apr</v>
      </c>
      <c r="D15" s="14" t="s">
        <v>47</v>
      </c>
      <c r="E15" s="14" t="s">
        <v>48</v>
      </c>
      <c r="F15" s="14" t="s">
        <v>8</v>
      </c>
      <c r="G15" s="14">
        <v>3</v>
      </c>
      <c r="H15" s="15">
        <v>450</v>
      </c>
      <c r="I15">
        <f t="shared" si="1"/>
        <v>1350</v>
      </c>
      <c r="J15" t="str">
        <f t="shared" si="2"/>
        <v>Not Good</v>
      </c>
      <c r="K15" t="str">
        <f t="shared" si="3"/>
        <v>Budget</v>
      </c>
    </row>
    <row r="16" spans="1:11" x14ac:dyDescent="0.25">
      <c r="A16" s="12" t="s">
        <v>76</v>
      </c>
      <c r="B16" s="12" t="s">
        <v>77</v>
      </c>
      <c r="C16" s="12" t="str">
        <f t="shared" si="0"/>
        <v>Apr</v>
      </c>
      <c r="D16" s="12" t="s">
        <v>52</v>
      </c>
      <c r="E16" s="12" t="s">
        <v>53</v>
      </c>
      <c r="F16" s="12" t="s">
        <v>0</v>
      </c>
      <c r="G16" s="12">
        <v>7</v>
      </c>
      <c r="H16" s="13">
        <v>3500</v>
      </c>
      <c r="I16">
        <f t="shared" si="1"/>
        <v>24500</v>
      </c>
      <c r="J16" t="str">
        <f t="shared" si="2"/>
        <v>Not Good</v>
      </c>
      <c r="K16" t="str">
        <f t="shared" si="3"/>
        <v>High Value</v>
      </c>
    </row>
    <row r="17" spans="1:11" x14ac:dyDescent="0.25">
      <c r="A17" s="14" t="s">
        <v>78</v>
      </c>
      <c r="B17" s="14" t="s">
        <v>79</v>
      </c>
      <c r="C17" s="12" t="str">
        <f t="shared" si="0"/>
        <v>Apr</v>
      </c>
      <c r="D17" s="14" t="s">
        <v>61</v>
      </c>
      <c r="E17" s="14" t="s">
        <v>39</v>
      </c>
      <c r="F17" s="14" t="s">
        <v>44</v>
      </c>
      <c r="G17" s="14">
        <v>17</v>
      </c>
      <c r="H17" s="15">
        <v>4500</v>
      </c>
      <c r="I17">
        <f t="shared" si="1"/>
        <v>76500</v>
      </c>
      <c r="J17" t="str">
        <f t="shared" si="2"/>
        <v>Not Good</v>
      </c>
      <c r="K17" t="str">
        <f t="shared" si="3"/>
        <v>High Value</v>
      </c>
    </row>
    <row r="18" spans="1:11" x14ac:dyDescent="0.25">
      <c r="A18" s="12" t="s">
        <v>80</v>
      </c>
      <c r="B18" s="12" t="s">
        <v>81</v>
      </c>
      <c r="C18" s="12" t="str">
        <f t="shared" si="0"/>
        <v>May</v>
      </c>
      <c r="D18" s="12" t="s">
        <v>82</v>
      </c>
      <c r="E18" s="12" t="s">
        <v>43</v>
      </c>
      <c r="F18" s="12" t="s">
        <v>49</v>
      </c>
      <c r="G18" s="12">
        <v>20</v>
      </c>
      <c r="H18" s="13">
        <v>850</v>
      </c>
      <c r="I18">
        <f t="shared" si="1"/>
        <v>17000</v>
      </c>
      <c r="J18" t="str">
        <f t="shared" si="2"/>
        <v>Not Good</v>
      </c>
      <c r="K18" t="str">
        <f t="shared" si="3"/>
        <v>High Value</v>
      </c>
    </row>
    <row r="19" spans="1:11" x14ac:dyDescent="0.25">
      <c r="A19" s="14" t="s">
        <v>83</v>
      </c>
      <c r="B19" s="14" t="s">
        <v>84</v>
      </c>
      <c r="C19" s="12" t="str">
        <f t="shared" si="0"/>
        <v>May</v>
      </c>
      <c r="D19" s="14" t="s">
        <v>64</v>
      </c>
      <c r="E19" s="14" t="s">
        <v>48</v>
      </c>
      <c r="F19" s="14" t="s">
        <v>54</v>
      </c>
      <c r="G19" s="14">
        <v>1</v>
      </c>
      <c r="H19" s="15">
        <v>32000</v>
      </c>
      <c r="I19">
        <f t="shared" si="1"/>
        <v>32000</v>
      </c>
      <c r="J19" t="str">
        <f t="shared" si="2"/>
        <v>Not Good</v>
      </c>
      <c r="K19" t="str">
        <f t="shared" si="3"/>
        <v>High Value</v>
      </c>
    </row>
    <row r="20" spans="1:11" x14ac:dyDescent="0.25">
      <c r="A20" s="12" t="s">
        <v>85</v>
      </c>
      <c r="B20" s="12" t="s">
        <v>86</v>
      </c>
      <c r="C20" s="12" t="str">
        <f t="shared" si="0"/>
        <v>May</v>
      </c>
      <c r="D20" s="12" t="s">
        <v>67</v>
      </c>
      <c r="E20" s="12" t="s">
        <v>53</v>
      </c>
      <c r="F20" s="12" t="s">
        <v>58</v>
      </c>
      <c r="G20" s="12">
        <v>18</v>
      </c>
      <c r="H20" s="13">
        <v>2200</v>
      </c>
      <c r="I20">
        <f t="shared" si="1"/>
        <v>39600</v>
      </c>
      <c r="J20" t="str">
        <f t="shared" si="2"/>
        <v>Not Good</v>
      </c>
      <c r="K20" t="str">
        <f t="shared" si="3"/>
        <v>High Value</v>
      </c>
    </row>
    <row r="21" spans="1:11" x14ac:dyDescent="0.25">
      <c r="A21" s="14" t="s">
        <v>87</v>
      </c>
      <c r="B21" s="14" t="s">
        <v>88</v>
      </c>
      <c r="C21" s="12" t="str">
        <f t="shared" si="0"/>
        <v>May</v>
      </c>
      <c r="D21" s="14" t="s">
        <v>34</v>
      </c>
      <c r="E21" s="14" t="s">
        <v>35</v>
      </c>
      <c r="F21" s="14" t="s">
        <v>8</v>
      </c>
      <c r="G21" s="14">
        <v>7</v>
      </c>
      <c r="H21" s="15">
        <v>55000</v>
      </c>
      <c r="I21">
        <f t="shared" si="1"/>
        <v>385000</v>
      </c>
      <c r="J21" t="str">
        <f t="shared" si="2"/>
        <v>Good</v>
      </c>
      <c r="K21" t="str">
        <f t="shared" si="3"/>
        <v>High Value</v>
      </c>
    </row>
    <row r="22" spans="1:11" x14ac:dyDescent="0.25">
      <c r="A22" s="12" t="s">
        <v>87</v>
      </c>
      <c r="B22" s="12" t="s">
        <v>88</v>
      </c>
      <c r="C22" s="12" t="str">
        <f t="shared" si="0"/>
        <v>May</v>
      </c>
      <c r="D22" s="12" t="s">
        <v>34</v>
      </c>
      <c r="E22" s="12" t="s">
        <v>35</v>
      </c>
      <c r="F22" s="12" t="s">
        <v>8</v>
      </c>
      <c r="G22" s="12">
        <v>7</v>
      </c>
      <c r="H22" s="13">
        <v>55000</v>
      </c>
      <c r="I22">
        <f t="shared" si="1"/>
        <v>385000</v>
      </c>
      <c r="J22" t="str">
        <f t="shared" si="2"/>
        <v>Good</v>
      </c>
      <c r="K22" t="str">
        <f t="shared" si="3"/>
        <v>High Value</v>
      </c>
    </row>
    <row r="23" spans="1:11" x14ac:dyDescent="0.25">
      <c r="A23" s="14" t="s">
        <v>89</v>
      </c>
      <c r="B23" s="14" t="s">
        <v>90</v>
      </c>
      <c r="C23" s="12" t="str">
        <f t="shared" si="0"/>
        <v>Jun</v>
      </c>
      <c r="D23" s="14" t="s">
        <v>38</v>
      </c>
      <c r="E23" s="14" t="s">
        <v>39</v>
      </c>
      <c r="F23" s="14" t="s">
        <v>0</v>
      </c>
      <c r="G23" s="14">
        <v>18</v>
      </c>
      <c r="H23" s="15">
        <v>1200</v>
      </c>
      <c r="I23">
        <f t="shared" si="1"/>
        <v>21600</v>
      </c>
      <c r="J23" t="str">
        <f t="shared" si="2"/>
        <v>Not Good</v>
      </c>
      <c r="K23" t="str">
        <f t="shared" si="3"/>
        <v>High Value</v>
      </c>
    </row>
    <row r="24" spans="1:11" x14ac:dyDescent="0.25">
      <c r="A24" s="12" t="s">
        <v>91</v>
      </c>
      <c r="B24" s="12" t="s">
        <v>92</v>
      </c>
      <c r="C24" s="12" t="str">
        <f t="shared" si="0"/>
        <v>Jun</v>
      </c>
      <c r="D24" s="12" t="s">
        <v>42</v>
      </c>
      <c r="E24" s="12" t="s">
        <v>43</v>
      </c>
      <c r="F24" s="12" t="s">
        <v>2</v>
      </c>
      <c r="G24" s="12">
        <v>14</v>
      </c>
      <c r="H24" s="13">
        <v>15000</v>
      </c>
      <c r="I24">
        <f t="shared" si="1"/>
        <v>210000</v>
      </c>
      <c r="J24" t="str">
        <f t="shared" si="2"/>
        <v>Good</v>
      </c>
      <c r="K24" t="str">
        <f t="shared" si="3"/>
        <v>High Value</v>
      </c>
    </row>
    <row r="25" spans="1:11" x14ac:dyDescent="0.25">
      <c r="A25" s="14" t="s">
        <v>93</v>
      </c>
      <c r="B25" s="14" t="s">
        <v>94</v>
      </c>
      <c r="C25" s="12" t="str">
        <f t="shared" si="0"/>
        <v>Jun</v>
      </c>
      <c r="D25" s="14" t="s">
        <v>52</v>
      </c>
      <c r="E25" s="14" t="s">
        <v>53</v>
      </c>
      <c r="F25" s="14" t="s">
        <v>49</v>
      </c>
      <c r="G25" s="14">
        <v>15</v>
      </c>
      <c r="H25" s="15">
        <v>3500</v>
      </c>
      <c r="I25">
        <f t="shared" si="1"/>
        <v>52500</v>
      </c>
      <c r="J25" t="str">
        <f t="shared" si="2"/>
        <v>Not Good</v>
      </c>
      <c r="K25" t="str">
        <f t="shared" si="3"/>
        <v>High Value</v>
      </c>
    </row>
    <row r="26" spans="1:11" x14ac:dyDescent="0.25">
      <c r="A26" s="12" t="s">
        <v>95</v>
      </c>
      <c r="B26" s="12" t="s">
        <v>96</v>
      </c>
      <c r="C26" s="12" t="str">
        <f t="shared" si="0"/>
        <v>Jul</v>
      </c>
      <c r="D26" s="12" t="s">
        <v>57</v>
      </c>
      <c r="E26" s="12" t="s">
        <v>35</v>
      </c>
      <c r="F26" s="12" t="s">
        <v>54</v>
      </c>
      <c r="G26" s="12">
        <v>19</v>
      </c>
      <c r="H26" s="13">
        <v>28000</v>
      </c>
      <c r="I26">
        <f t="shared" si="1"/>
        <v>532000</v>
      </c>
      <c r="J26" t="str">
        <f t="shared" si="2"/>
        <v>Excellent</v>
      </c>
      <c r="K26" t="str">
        <f t="shared" si="3"/>
        <v>High Value</v>
      </c>
    </row>
    <row r="27" spans="1:11" x14ac:dyDescent="0.25">
      <c r="A27" s="14" t="s">
        <v>97</v>
      </c>
      <c r="B27" s="14" t="s">
        <v>98</v>
      </c>
      <c r="C27" s="12" t="str">
        <f t="shared" si="0"/>
        <v>Jul</v>
      </c>
      <c r="D27" s="14" t="s">
        <v>61</v>
      </c>
      <c r="E27" s="14" t="s">
        <v>39</v>
      </c>
      <c r="F27" s="14" t="s">
        <v>58</v>
      </c>
      <c r="G27" s="14">
        <v>9</v>
      </c>
      <c r="H27" s="15">
        <v>4500</v>
      </c>
      <c r="I27">
        <f t="shared" si="1"/>
        <v>40500</v>
      </c>
      <c r="J27" t="str">
        <f t="shared" si="2"/>
        <v>Not Good</v>
      </c>
      <c r="K27" t="str">
        <f t="shared" si="3"/>
        <v>High Value</v>
      </c>
    </row>
    <row r="28" spans="1:11" x14ac:dyDescent="0.25">
      <c r="A28" s="12" t="s">
        <v>99</v>
      </c>
      <c r="B28" s="12" t="s">
        <v>100</v>
      </c>
      <c r="C28" s="12" t="str">
        <f t="shared" si="0"/>
        <v>Jul</v>
      </c>
      <c r="D28" s="12" t="s">
        <v>82</v>
      </c>
      <c r="E28" s="12" t="s">
        <v>43</v>
      </c>
      <c r="F28" s="12" t="s">
        <v>8</v>
      </c>
      <c r="G28" s="12">
        <v>1</v>
      </c>
      <c r="H28" s="13">
        <v>850</v>
      </c>
      <c r="I28">
        <f t="shared" si="1"/>
        <v>850</v>
      </c>
      <c r="J28" t="str">
        <f t="shared" si="2"/>
        <v>Not Good</v>
      </c>
      <c r="K28" t="str">
        <f t="shared" si="3"/>
        <v>Budget</v>
      </c>
    </row>
    <row r="29" spans="1:11" x14ac:dyDescent="0.25">
      <c r="A29" s="14" t="s">
        <v>101</v>
      </c>
      <c r="B29" s="14" t="s">
        <v>102</v>
      </c>
      <c r="C29" s="12" t="str">
        <f t="shared" si="0"/>
        <v>Jul</v>
      </c>
      <c r="D29" s="14" t="s">
        <v>64</v>
      </c>
      <c r="E29" s="14" t="s">
        <v>48</v>
      </c>
      <c r="F29" s="14" t="s">
        <v>0</v>
      </c>
      <c r="G29" s="14">
        <v>6</v>
      </c>
      <c r="H29" s="15">
        <v>32000</v>
      </c>
      <c r="I29">
        <f t="shared" si="1"/>
        <v>192000</v>
      </c>
      <c r="J29" t="str">
        <f t="shared" si="2"/>
        <v>Good</v>
      </c>
      <c r="K29" t="str">
        <f t="shared" si="3"/>
        <v>High Value</v>
      </c>
    </row>
    <row r="30" spans="1:11" x14ac:dyDescent="0.25">
      <c r="A30" s="12" t="s">
        <v>103</v>
      </c>
      <c r="B30" s="12" t="s">
        <v>104</v>
      </c>
      <c r="C30" s="12" t="str">
        <f t="shared" si="0"/>
        <v>Aug</v>
      </c>
      <c r="D30" s="12" t="s">
        <v>67</v>
      </c>
      <c r="E30" s="12" t="s">
        <v>53</v>
      </c>
      <c r="F30" s="12" t="s">
        <v>2</v>
      </c>
      <c r="G30" s="12">
        <v>14</v>
      </c>
      <c r="H30" s="13">
        <v>2200</v>
      </c>
      <c r="I30">
        <f t="shared" si="1"/>
        <v>30800</v>
      </c>
      <c r="J30" t="str">
        <f t="shared" si="2"/>
        <v>Not Good</v>
      </c>
      <c r="K30" t="str">
        <f t="shared" si="3"/>
        <v>High Value</v>
      </c>
    </row>
    <row r="31" spans="1:11" x14ac:dyDescent="0.25">
      <c r="A31" s="14" t="s">
        <v>105</v>
      </c>
      <c r="B31" s="14" t="s">
        <v>106</v>
      </c>
      <c r="C31" s="12" t="str">
        <f t="shared" si="0"/>
        <v>Aug</v>
      </c>
      <c r="D31" s="14" t="s">
        <v>34</v>
      </c>
      <c r="E31" s="14" t="s">
        <v>35</v>
      </c>
      <c r="F31" s="14" t="s">
        <v>44</v>
      </c>
      <c r="G31" s="14">
        <v>11</v>
      </c>
      <c r="H31" s="15">
        <v>55000</v>
      </c>
      <c r="I31">
        <f t="shared" si="1"/>
        <v>605000</v>
      </c>
      <c r="J31" t="str">
        <f t="shared" si="2"/>
        <v>Excellent</v>
      </c>
      <c r="K31" t="str">
        <f t="shared" si="3"/>
        <v>High Value</v>
      </c>
    </row>
    <row r="32" spans="1:11" x14ac:dyDescent="0.25">
      <c r="A32" s="12" t="s">
        <v>107</v>
      </c>
      <c r="B32" s="12" t="s">
        <v>108</v>
      </c>
      <c r="C32" s="12" t="str">
        <f t="shared" si="0"/>
        <v>Aug</v>
      </c>
      <c r="D32" s="12" t="s">
        <v>38</v>
      </c>
      <c r="E32" s="12" t="s">
        <v>39</v>
      </c>
      <c r="F32" s="12" t="s">
        <v>49</v>
      </c>
      <c r="G32" s="12">
        <v>9</v>
      </c>
      <c r="H32" s="13">
        <v>1200</v>
      </c>
      <c r="I32">
        <f t="shared" si="1"/>
        <v>10800</v>
      </c>
      <c r="J32" t="str">
        <f t="shared" si="2"/>
        <v>Not Good</v>
      </c>
      <c r="K32" t="str">
        <f t="shared" si="3"/>
        <v>High Value</v>
      </c>
    </row>
    <row r="33" spans="1:11" x14ac:dyDescent="0.25">
      <c r="A33" s="14" t="s">
        <v>109</v>
      </c>
      <c r="B33" s="14" t="s">
        <v>110</v>
      </c>
      <c r="C33" s="12" t="str">
        <f t="shared" si="0"/>
        <v>Aug</v>
      </c>
      <c r="D33" s="14" t="s">
        <v>42</v>
      </c>
      <c r="E33" s="14" t="s">
        <v>43</v>
      </c>
      <c r="F33" s="14" t="s">
        <v>54</v>
      </c>
      <c r="G33" s="14">
        <v>5</v>
      </c>
      <c r="H33" s="15">
        <v>15000</v>
      </c>
      <c r="I33">
        <f t="shared" si="1"/>
        <v>75000</v>
      </c>
      <c r="J33" t="str">
        <f t="shared" si="2"/>
        <v>Not Good</v>
      </c>
      <c r="K33" t="str">
        <f t="shared" si="3"/>
        <v>High Value</v>
      </c>
    </row>
    <row r="34" spans="1:11" x14ac:dyDescent="0.25">
      <c r="A34" s="12" t="s">
        <v>111</v>
      </c>
      <c r="B34" s="12" t="s">
        <v>112</v>
      </c>
      <c r="C34" s="12" t="str">
        <f t="shared" si="0"/>
        <v>Sep</v>
      </c>
      <c r="D34" s="12" t="s">
        <v>52</v>
      </c>
      <c r="E34" s="12" t="s">
        <v>53</v>
      </c>
      <c r="F34" s="12" t="s">
        <v>8</v>
      </c>
      <c r="G34" s="12">
        <v>11</v>
      </c>
      <c r="H34" s="13">
        <v>3500</v>
      </c>
      <c r="I34">
        <f t="shared" si="1"/>
        <v>38500</v>
      </c>
      <c r="J34" t="str">
        <f t="shared" si="2"/>
        <v>Not Good</v>
      </c>
      <c r="K34" t="str">
        <f t="shared" si="3"/>
        <v>High Value</v>
      </c>
    </row>
    <row r="35" spans="1:11" x14ac:dyDescent="0.25">
      <c r="A35" s="14" t="s">
        <v>113</v>
      </c>
      <c r="B35" s="14" t="s">
        <v>114</v>
      </c>
      <c r="C35" s="12" t="str">
        <f t="shared" si="0"/>
        <v>Sep</v>
      </c>
      <c r="D35" s="14" t="s">
        <v>57</v>
      </c>
      <c r="E35" s="14" t="s">
        <v>35</v>
      </c>
      <c r="F35" s="14" t="s">
        <v>0</v>
      </c>
      <c r="G35" s="14">
        <v>4</v>
      </c>
      <c r="H35" s="15">
        <v>28000</v>
      </c>
      <c r="I35">
        <f t="shared" si="1"/>
        <v>112000</v>
      </c>
      <c r="J35" t="str">
        <f t="shared" si="2"/>
        <v>Good</v>
      </c>
      <c r="K35" t="str">
        <f t="shared" si="3"/>
        <v>High Value</v>
      </c>
    </row>
    <row r="36" spans="1:11" x14ac:dyDescent="0.25">
      <c r="A36" s="12" t="s">
        <v>113</v>
      </c>
      <c r="B36" s="12" t="s">
        <v>114</v>
      </c>
      <c r="C36" s="12" t="str">
        <f t="shared" si="0"/>
        <v>Sep</v>
      </c>
      <c r="D36" s="12" t="s">
        <v>57</v>
      </c>
      <c r="E36" s="12" t="s">
        <v>35</v>
      </c>
      <c r="F36" s="12" t="s">
        <v>0</v>
      </c>
      <c r="G36" s="12">
        <v>4</v>
      </c>
      <c r="H36" s="13">
        <v>28000</v>
      </c>
      <c r="I36">
        <f t="shared" si="1"/>
        <v>112000</v>
      </c>
      <c r="J36" t="str">
        <f t="shared" si="2"/>
        <v>Good</v>
      </c>
      <c r="K36" t="str">
        <f t="shared" si="3"/>
        <v>High Value</v>
      </c>
    </row>
    <row r="37" spans="1:11" x14ac:dyDescent="0.25">
      <c r="A37" s="14" t="s">
        <v>115</v>
      </c>
      <c r="B37" s="14" t="s">
        <v>116</v>
      </c>
      <c r="C37" s="12" t="str">
        <f t="shared" si="0"/>
        <v>Sep</v>
      </c>
      <c r="D37" s="14" t="s">
        <v>61</v>
      </c>
      <c r="E37" s="14" t="s">
        <v>39</v>
      </c>
      <c r="F37" s="14" t="s">
        <v>2</v>
      </c>
      <c r="G37" s="14">
        <v>3</v>
      </c>
      <c r="H37" s="15">
        <v>4500</v>
      </c>
      <c r="I37">
        <f t="shared" si="1"/>
        <v>13500</v>
      </c>
      <c r="J37" t="str">
        <f t="shared" si="2"/>
        <v>Not Good</v>
      </c>
      <c r="K37" t="str">
        <f t="shared" si="3"/>
        <v>High Value</v>
      </c>
    </row>
    <row r="38" spans="1:11" x14ac:dyDescent="0.25">
      <c r="A38" s="12" t="s">
        <v>117</v>
      </c>
      <c r="B38" s="12" t="s">
        <v>118</v>
      </c>
      <c r="C38" s="12" t="str">
        <f t="shared" si="0"/>
        <v>Oct</v>
      </c>
      <c r="D38" s="12" t="s">
        <v>82</v>
      </c>
      <c r="E38" s="12" t="s">
        <v>43</v>
      </c>
      <c r="F38" s="12" t="s">
        <v>44</v>
      </c>
      <c r="G38" s="12">
        <v>13</v>
      </c>
      <c r="H38" s="13">
        <v>850</v>
      </c>
      <c r="I38">
        <f t="shared" si="1"/>
        <v>11050</v>
      </c>
      <c r="J38" t="str">
        <f t="shared" si="2"/>
        <v>Not Good</v>
      </c>
      <c r="K38" t="str">
        <f t="shared" si="3"/>
        <v>High Value</v>
      </c>
    </row>
    <row r="39" spans="1:11" x14ac:dyDescent="0.25">
      <c r="A39" s="14" t="s">
        <v>119</v>
      </c>
      <c r="B39" s="14" t="s">
        <v>120</v>
      </c>
      <c r="C39" s="12" t="str">
        <f t="shared" si="0"/>
        <v>Oct</v>
      </c>
      <c r="D39" s="14" t="s">
        <v>64</v>
      </c>
      <c r="E39" s="14" t="s">
        <v>48</v>
      </c>
      <c r="F39" s="14" t="s">
        <v>49</v>
      </c>
      <c r="G39" s="14">
        <v>4</v>
      </c>
      <c r="H39" s="15">
        <v>32000</v>
      </c>
      <c r="I39">
        <f t="shared" si="1"/>
        <v>128000</v>
      </c>
      <c r="J39" t="str">
        <f t="shared" si="2"/>
        <v>Good</v>
      </c>
      <c r="K39" t="str">
        <f t="shared" si="3"/>
        <v>High Value</v>
      </c>
    </row>
    <row r="40" spans="1:11" x14ac:dyDescent="0.25">
      <c r="A40" s="12" t="s">
        <v>121</v>
      </c>
      <c r="B40" s="12" t="s">
        <v>122</v>
      </c>
      <c r="C40" s="12" t="str">
        <f t="shared" si="0"/>
        <v>Oct</v>
      </c>
      <c r="D40" s="12" t="s">
        <v>67</v>
      </c>
      <c r="E40" s="12" t="s">
        <v>53</v>
      </c>
      <c r="F40" s="12" t="s">
        <v>54</v>
      </c>
      <c r="G40" s="12">
        <v>12</v>
      </c>
      <c r="H40" s="13">
        <v>2200</v>
      </c>
      <c r="I40">
        <f t="shared" si="1"/>
        <v>26400</v>
      </c>
      <c r="J40" t="str">
        <f t="shared" si="2"/>
        <v>Not Good</v>
      </c>
      <c r="K40" t="str">
        <f t="shared" si="3"/>
        <v>High Value</v>
      </c>
    </row>
    <row r="41" spans="1:11" x14ac:dyDescent="0.25">
      <c r="A41" s="14" t="s">
        <v>123</v>
      </c>
      <c r="B41" s="14" t="s">
        <v>124</v>
      </c>
      <c r="C41" s="12" t="str">
        <f t="shared" si="0"/>
        <v>Nov</v>
      </c>
      <c r="D41" s="14" t="s">
        <v>34</v>
      </c>
      <c r="E41" s="14" t="s">
        <v>35</v>
      </c>
      <c r="F41" s="14" t="s">
        <v>58</v>
      </c>
      <c r="G41" s="14">
        <v>12</v>
      </c>
      <c r="H41" s="15">
        <v>55000</v>
      </c>
      <c r="I41">
        <f t="shared" si="1"/>
        <v>660000</v>
      </c>
      <c r="J41" t="str">
        <f t="shared" si="2"/>
        <v>Excellent</v>
      </c>
      <c r="K41" t="str">
        <f t="shared" si="3"/>
        <v>High Value</v>
      </c>
    </row>
    <row r="45" spans="1:11" ht="21" x14ac:dyDescent="0.35">
      <c r="C45" s="16" t="s">
        <v>125</v>
      </c>
      <c r="D45" s="17"/>
    </row>
    <row r="46" spans="1:11" x14ac:dyDescent="0.25">
      <c r="C46" t="s">
        <v>126</v>
      </c>
      <c r="D46">
        <f>SUM(I2:I41)</f>
        <v>5444450</v>
      </c>
    </row>
    <row r="47" spans="1:11" x14ac:dyDescent="0.25">
      <c r="C47" t="s">
        <v>127</v>
      </c>
      <c r="D47">
        <f>AVERAGE(I2:I41)</f>
        <v>136111.25</v>
      </c>
    </row>
    <row r="48" spans="1:11" x14ac:dyDescent="0.25">
      <c r="C48" t="s">
        <v>128</v>
      </c>
      <c r="D48">
        <f>MAX(I2:I41)</f>
        <v>770000</v>
      </c>
    </row>
    <row r="49" spans="3:4" x14ac:dyDescent="0.25">
      <c r="C49" t="s">
        <v>129</v>
      </c>
      <c r="D49">
        <f>MIN(I2:I41)</f>
        <v>850</v>
      </c>
    </row>
    <row r="50" spans="3:4" x14ac:dyDescent="0.25">
      <c r="C50" t="s">
        <v>130</v>
      </c>
      <c r="D50">
        <f>COUNT(I2:I41)</f>
        <v>40</v>
      </c>
    </row>
    <row r="51" spans="3:4" x14ac:dyDescent="0.25">
      <c r="C51" t="s">
        <v>132</v>
      </c>
      <c r="D51">
        <f>COUNTIF(J2:J41,"Excellent")</f>
        <v>4</v>
      </c>
    </row>
    <row r="52" spans="3:4" x14ac:dyDescent="0.25">
      <c r="C52" t="s">
        <v>133</v>
      </c>
      <c r="D52">
        <f>COUNTIF(J2:J41,"Good")</f>
        <v>11</v>
      </c>
    </row>
    <row r="53" spans="3:4" x14ac:dyDescent="0.25">
      <c r="C53" t="s">
        <v>137</v>
      </c>
      <c r="D53" s="20">
        <f>AVERAGE(I2:I41)</f>
        <v>136111.25</v>
      </c>
    </row>
    <row r="54" spans="3:4" x14ac:dyDescent="0.25">
      <c r="C54" t="s">
        <v>138</v>
      </c>
      <c r="D54">
        <f>COUNTIF(K2:K53,"High Value")</f>
        <v>35</v>
      </c>
    </row>
  </sheetData>
  <mergeCells count="1">
    <mergeCell ref="C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Day_02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mejba</cp:lastModifiedBy>
  <dcterms:created xsi:type="dcterms:W3CDTF">2026-04-29T09:30:50Z</dcterms:created>
  <dcterms:modified xsi:type="dcterms:W3CDTF">2026-09-12T06:07:41Z</dcterms:modified>
</cp:coreProperties>
</file>